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D424ECE3-3E17-40F0-87DE-310F44585C4C}" xr6:coauthVersionLast="47" xr6:coauthVersionMax="47" xr10:uidLastSave="{00000000-0000-0000-0000-000000000000}"/>
  <bookViews>
    <workbookView xWindow="-120" yWindow="-120" windowWidth="20730" windowHeight="11040" xr2:uid="{E001B387-921A-46A9-84FE-08FEF8238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40" i="1"/>
  <c r="G43" i="1" s="1"/>
  <c r="G38" i="1"/>
  <c r="G37" i="1"/>
  <c r="G36" i="1"/>
  <c r="G35" i="1"/>
  <c r="G34" i="1"/>
  <c r="G33" i="1" a="1"/>
  <c r="G33" i="1" s="1"/>
  <c r="G31" i="1"/>
  <c r="G39" i="1"/>
  <c r="G32" i="1"/>
  <c r="G17" i="1"/>
  <c r="G16" i="1"/>
  <c r="G13" i="1"/>
  <c r="G14" i="1"/>
  <c r="G30" i="1"/>
  <c r="G15" i="1"/>
  <c r="G5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<sst xmlns="http://schemas.openxmlformats.org/spreadsheetml/2006/main" count="96" uniqueCount="84">
  <si>
    <t>SUM</t>
  </si>
  <si>
    <t>SUMIF</t>
  </si>
  <si>
    <t>SUMIFS</t>
  </si>
  <si>
    <t>VLOOKUP</t>
  </si>
  <si>
    <t>XLOOKUP</t>
  </si>
  <si>
    <t>INDEX MATCH</t>
  </si>
  <si>
    <t>IF STATEMENT</t>
  </si>
  <si>
    <t>COUNTIFS</t>
  </si>
  <si>
    <t xml:space="preserve">SUBSTITUTE </t>
  </si>
  <si>
    <t>IFS</t>
  </si>
  <si>
    <t>FORMULA</t>
  </si>
  <si>
    <t>AVERAGE</t>
  </si>
  <si>
    <t>EOQ</t>
  </si>
  <si>
    <t>ROP</t>
  </si>
  <si>
    <t>ROUND</t>
  </si>
  <si>
    <t>TRIM</t>
  </si>
  <si>
    <t>LEFT</t>
  </si>
  <si>
    <t>MID</t>
  </si>
  <si>
    <t>RIGHT</t>
  </si>
  <si>
    <t>WORKDAY</t>
  </si>
  <si>
    <t>EOMONTH</t>
  </si>
  <si>
    <t>NETWORKDAYS</t>
  </si>
  <si>
    <t>RESULT</t>
  </si>
  <si>
    <t>MERCEDES</t>
  </si>
  <si>
    <t>FERRARI</t>
  </si>
  <si>
    <t>MCLAREN</t>
  </si>
  <si>
    <t>HAASS</t>
  </si>
  <si>
    <t>REDBULL</t>
  </si>
  <si>
    <t>ASTON MARTIN</t>
  </si>
  <si>
    <t>GERMAN</t>
  </si>
  <si>
    <t>ITALI</t>
  </si>
  <si>
    <t>UK</t>
  </si>
  <si>
    <t>SAUDI ARABIA</t>
  </si>
  <si>
    <t>CALIFORNIA</t>
  </si>
  <si>
    <t>AUSTRIA</t>
  </si>
  <si>
    <t>OXFORDSHIRE</t>
  </si>
  <si>
    <t>DATA 2</t>
  </si>
  <si>
    <t>DATA 3</t>
  </si>
  <si>
    <t>DATA 4</t>
  </si>
  <si>
    <t>DATA 1</t>
  </si>
  <si>
    <t>GEORGE RUSSEL</t>
  </si>
  <si>
    <t>SUM(C4:F4)</t>
  </si>
  <si>
    <t>SUMIF(D5:E11, F5, E5:E11)</t>
  </si>
  <si>
    <t>COUNTIFS(D5:D12, F13, C5:C12, E13)</t>
  </si>
  <si>
    <t>VLOOKUP(D6, D3:E12, 2, FALSE)</t>
  </si>
  <si>
    <t>IF(D19="MERCEDES", TRUE, FALSE)</t>
  </si>
  <si>
    <t>SUMIFS(E5:E12, C5:C12, E14, D5:D12, F14)</t>
  </si>
  <si>
    <t>SUMIFS(E5:E12, C5:C12, E13, D5:D12, F13)</t>
  </si>
  <si>
    <t>XLOOKUP(F17, C5:C12, E5:E12, "NOT FOUND")</t>
  </si>
  <si>
    <t>Nama Barang</t>
  </si>
  <si>
    <t>Pemakaian Harian</t>
  </si>
  <si>
    <t>Fish filets</t>
  </si>
  <si>
    <t>French fries</t>
  </si>
  <si>
    <t>Chickens</t>
  </si>
  <si>
    <t>Prime rib roasts</t>
  </si>
  <si>
    <t>Lettuce (case)</t>
  </si>
  <si>
    <t>Lobster tail</t>
  </si>
  <si>
    <t>Ribeye Steak</t>
  </si>
  <si>
    <t>Bacon</t>
  </si>
  <si>
    <t>Pasta</t>
  </si>
  <si>
    <t>Tomato Sauce</t>
  </si>
  <si>
    <t>Table cloth</t>
  </si>
  <si>
    <t>CHICKENS</t>
  </si>
  <si>
    <t>INDEX(D19:F29,MATCH(E17,C19:C29,0),MATCH(D17,D18:F18,0))</t>
  </si>
  <si>
    <t>Singapore  Grand Prix</t>
  </si>
  <si>
    <t>TRIM(F34)</t>
  </si>
  <si>
    <t>LEWIS IS DRIVER</t>
  </si>
  <si>
    <t>GEORGE</t>
  </si>
  <si>
    <t>EOMONTH(F39, -2)</t>
  </si>
  <si>
    <t>SUBSTITUTE(E31, "LEWIS", F31)</t>
  </si>
  <si>
    <t>IFS(F33&gt;=85, "A", F33&gt;=75, "B", F33&gt;=60, "C", TRUE, "D")</t>
  </si>
  <si>
    <t>AVERAGE(Sheet1!$C34:$F34)</t>
  </si>
  <si>
    <t>ROUND(F35, -1)</t>
  </si>
  <si>
    <t>LEFT(Sheet1!$C36, 4)</t>
  </si>
  <si>
    <t>MID(Sheet1!$C37, 2, 3)</t>
  </si>
  <si>
    <t>RIGHT(Sheet1!$C38, 6)</t>
  </si>
  <si>
    <t>CHARLES LECLERC</t>
  </si>
  <si>
    <t>START DATE</t>
  </si>
  <si>
    <t>WORK DURATION</t>
  </si>
  <si>
    <t>HOLIDAY DAY</t>
  </si>
  <si>
    <t>WORKDAY(C41, D41, E41:E42 )</t>
  </si>
  <si>
    <t xml:space="preserve"> EXCEL FORMULA</t>
  </si>
  <si>
    <t>NETWORKDAYS(C41, G40, E41)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</si>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</sst>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hair">
        <color theme="9"/>
      </right>
      <top style="thin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thin">
        <color theme="9"/>
      </top>
      <bottom style="hair">
        <color theme="9"/>
      </bottom>
      <diagonal/>
    </border>
    <border>
      <left style="hair">
        <color theme="9"/>
      </left>
      <right/>
      <top style="thin">
        <color theme="9"/>
      </top>
      <bottom style="hair">
        <color theme="9"/>
      </bottom>
      <diagonal/>
    </border>
    <border>
      <left/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/>
      <top style="hair">
        <color theme="9"/>
      </top>
      <bottom style="hair">
        <color theme="9"/>
      </bottom>
      <diagonal/>
    </border>
    <border>
      <left/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/>
      <top style="hair">
        <color theme="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right"/>
    </xf>
    <xf numFmtId="14" fontId="5" fillId="3" borderId="5" xfId="0" applyNumberFormat="1" applyFont="1" applyFill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5" fillId="3" borderId="8" xfId="0" applyFont="1" applyFill="1" applyBorder="1" applyAlignment="1">
      <alignment horizontal="right"/>
    </xf>
    <xf numFmtId="14" fontId="5" fillId="3" borderId="8" xfId="0" applyNumberFormat="1" applyFont="1" applyFill="1" applyBorder="1" applyAlignment="1">
      <alignment horizontal="right"/>
    </xf>
    <xf numFmtId="0" fontId="5" fillId="3" borderId="9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/>
        <top style="hair">
          <color theme="9"/>
        </top>
        <bottom style="hair">
          <color theme="9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9" tint="-0.249977111117893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theme="9"/>
        </left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9" tint="-0.249977111117893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hair">
          <color theme="9"/>
        </right>
        <top style="hair">
          <color theme="9"/>
        </top>
        <bottom style="hair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BBFFA-66DA-4805-A984-226710745389}" name="Table2" displayName="Table2" ref="B3:H43" totalsRowShown="0" headerRowDxfId="8" dataDxfId="0" tableBorderDxfId="9">
  <autoFilter ref="B3:H43" xr:uid="{D94BBFFA-66DA-4805-A984-226710745389}"/>
  <tableColumns count="7">
    <tableColumn id="1" xr3:uid="{D4D31164-F2B3-4C49-9F9F-424FD8E830A9}" name="FORMULA" dataDxfId="7"/>
    <tableColumn id="2" xr3:uid="{0F450C11-587C-4DC9-B3E9-7524F4E054D9}" name="DATA 1" dataDxfId="6"/>
    <tableColumn id="3" xr3:uid="{00D03D7D-51BD-4468-868D-4EECF1F4E999}" name="DATA 2" dataDxfId="5"/>
    <tableColumn id="4" xr3:uid="{B44534D0-1197-4DE8-BA5A-E37B819A374C}" name="DATA 3" dataDxfId="4"/>
    <tableColumn id="5" xr3:uid="{AF940233-D7E4-474A-A2AF-E7A97E6D118C}" name="DATA 4" dataDxfId="3"/>
    <tableColumn id="6" xr3:uid="{04241601-B5EC-498A-B89D-C86CE3AFF555}" name="RESULT" dataDxfId="2"/>
    <tableColumn id="7" xr3:uid="{DE2DD7BB-0656-4A64-A33F-CEC0F6FE16A7}" name="Column1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8C97-9391-487B-99DA-B453C3012432}">
  <dimension ref="B1:J43"/>
  <sheetViews>
    <sheetView tabSelected="1" zoomScale="62" zoomScaleNormal="160" workbookViewId="0">
      <selection activeCell="G23" sqref="G23"/>
    </sheetView>
  </sheetViews>
  <sheetFormatPr defaultRowHeight="18.75" x14ac:dyDescent="0.3"/>
  <cols>
    <col min="1" max="1" width="9.140625" style="1"/>
    <col min="2" max="2" width="35.7109375" style="1" customWidth="1"/>
    <col min="3" max="3" width="33" style="1" customWidth="1"/>
    <col min="4" max="4" width="25.140625" style="1" customWidth="1"/>
    <col min="5" max="5" width="21" style="1" customWidth="1"/>
    <col min="6" max="6" width="29.42578125" style="1" customWidth="1"/>
    <col min="7" max="7" width="33.140625" style="1" customWidth="1"/>
    <col min="8" max="8" width="93.85546875" style="1" customWidth="1"/>
    <col min="9" max="16384" width="9.140625" style="1"/>
  </cols>
  <sheetData>
    <row r="1" spans="2:10" x14ac:dyDescent="0.3">
      <c r="B1" s="5"/>
      <c r="C1" s="5"/>
      <c r="D1" s="5"/>
      <c r="E1" s="5"/>
      <c r="F1" s="5"/>
      <c r="G1" s="5"/>
      <c r="H1" s="5"/>
    </row>
    <row r="2" spans="2:10" ht="36" x14ac:dyDescent="0.55000000000000004">
      <c r="B2" s="6" t="s">
        <v>81</v>
      </c>
      <c r="C2" s="6"/>
      <c r="D2" s="6"/>
      <c r="E2" s="6"/>
      <c r="F2" s="6"/>
      <c r="G2" s="6"/>
      <c r="H2" s="6"/>
      <c r="J2" s="2"/>
    </row>
    <row r="3" spans="2:10" x14ac:dyDescent="0.3">
      <c r="B3" s="3" t="s">
        <v>10</v>
      </c>
      <c r="C3" s="4" t="s">
        <v>39</v>
      </c>
      <c r="D3" s="4" t="s">
        <v>36</v>
      </c>
      <c r="E3" s="4" t="s">
        <v>37</v>
      </c>
      <c r="F3" s="4" t="s">
        <v>38</v>
      </c>
      <c r="G3" s="4" t="s">
        <v>22</v>
      </c>
      <c r="H3" s="4" t="s">
        <v>83</v>
      </c>
    </row>
    <row r="4" spans="2:10" ht="23.25" x14ac:dyDescent="0.35">
      <c r="B4" s="7" t="s">
        <v>0</v>
      </c>
      <c r="C4" s="8">
        <v>60</v>
      </c>
      <c r="D4" s="8">
        <v>140</v>
      </c>
      <c r="E4" s="8">
        <v>50</v>
      </c>
      <c r="F4" s="8">
        <v>80</v>
      </c>
      <c r="G4" s="8">
        <f>SUM(C4:F4)</f>
        <v>330</v>
      </c>
      <c r="H4" s="9" t="s">
        <v>41</v>
      </c>
    </row>
    <row r="5" spans="2:10" ht="23.25" x14ac:dyDescent="0.35">
      <c r="B5" s="10" t="s">
        <v>1</v>
      </c>
      <c r="C5" s="11" t="s">
        <v>29</v>
      </c>
      <c r="D5" s="11" t="s">
        <v>23</v>
      </c>
      <c r="E5" s="11">
        <v>78</v>
      </c>
      <c r="F5" s="11" t="s">
        <v>25</v>
      </c>
      <c r="G5" s="11">
        <f ca="1">SUMIF(D5:E11, F5, E5:E11)</f>
        <v>66</v>
      </c>
      <c r="H5" s="12" t="s">
        <v>42</v>
      </c>
    </row>
    <row r="6" spans="2:10" ht="23.25" x14ac:dyDescent="0.35">
      <c r="B6" s="13"/>
      <c r="C6" s="14" t="s">
        <v>30</v>
      </c>
      <c r="D6" s="14" t="s">
        <v>24</v>
      </c>
      <c r="E6" s="14">
        <v>55</v>
      </c>
      <c r="F6" s="14"/>
      <c r="G6" s="14"/>
      <c r="H6" s="15"/>
    </row>
    <row r="7" spans="2:10" ht="23.25" x14ac:dyDescent="0.35">
      <c r="B7" s="10"/>
      <c r="C7" s="11" t="s">
        <v>31</v>
      </c>
      <c r="D7" s="11" t="s">
        <v>25</v>
      </c>
      <c r="E7" s="11">
        <v>66</v>
      </c>
      <c r="F7" s="11"/>
      <c r="G7" s="11"/>
      <c r="H7" s="12"/>
    </row>
    <row r="8" spans="2:10" ht="23.25" x14ac:dyDescent="0.35">
      <c r="B8" s="13"/>
      <c r="C8" s="14" t="s">
        <v>33</v>
      </c>
      <c r="D8" s="14" t="s">
        <v>26</v>
      </c>
      <c r="E8" s="14">
        <v>45</v>
      </c>
      <c r="F8" s="14"/>
      <c r="G8" s="14"/>
      <c r="H8" s="15"/>
    </row>
    <row r="9" spans="2:10" ht="23.25" x14ac:dyDescent="0.35">
      <c r="B9" s="10"/>
      <c r="C9" s="11" t="s">
        <v>34</v>
      </c>
      <c r="D9" s="11" t="s">
        <v>27</v>
      </c>
      <c r="E9" s="11">
        <v>42</v>
      </c>
      <c r="F9" s="11"/>
      <c r="G9" s="11"/>
      <c r="H9" s="12"/>
    </row>
    <row r="10" spans="2:10" ht="23.25" x14ac:dyDescent="0.35">
      <c r="B10" s="13"/>
      <c r="C10" s="14" t="s">
        <v>32</v>
      </c>
      <c r="D10" s="14" t="s">
        <v>28</v>
      </c>
      <c r="E10" s="14">
        <v>67</v>
      </c>
      <c r="F10" s="14"/>
      <c r="G10" s="14"/>
      <c r="H10" s="15"/>
    </row>
    <row r="11" spans="2:10" ht="23.25" x14ac:dyDescent="0.35">
      <c r="B11" s="10"/>
      <c r="C11" s="11" t="s">
        <v>35</v>
      </c>
      <c r="D11" s="11" t="s">
        <v>28</v>
      </c>
      <c r="E11" s="11">
        <v>36</v>
      </c>
      <c r="F11" s="11"/>
      <c r="G11" s="11"/>
      <c r="H11" s="12"/>
    </row>
    <row r="12" spans="2:10" ht="23.25" x14ac:dyDescent="0.35">
      <c r="B12" s="10"/>
      <c r="C12" s="14" t="s">
        <v>32</v>
      </c>
      <c r="D12" s="14" t="s">
        <v>28</v>
      </c>
      <c r="E12" s="14">
        <v>57</v>
      </c>
      <c r="F12" s="14"/>
      <c r="G12" s="14"/>
      <c r="H12" s="15"/>
    </row>
    <row r="13" spans="2:10" ht="23.25" x14ac:dyDescent="0.35">
      <c r="B13" s="10" t="s">
        <v>2</v>
      </c>
      <c r="C13" s="11"/>
      <c r="D13" s="11"/>
      <c r="E13" s="11" t="s">
        <v>32</v>
      </c>
      <c r="F13" s="11" t="s">
        <v>28</v>
      </c>
      <c r="G13" s="11">
        <f>SUMIFS(E5:E12, C5:C12, E13, D5:D12, F13)</f>
        <v>124</v>
      </c>
      <c r="H13" s="12" t="s">
        <v>47</v>
      </c>
    </row>
    <row r="14" spans="2:10" ht="23.25" x14ac:dyDescent="0.35">
      <c r="B14" s="10"/>
      <c r="C14" s="11"/>
      <c r="D14" s="11"/>
      <c r="E14" s="11" t="s">
        <v>29</v>
      </c>
      <c r="F14" s="11" t="s">
        <v>23</v>
      </c>
      <c r="G14" s="11">
        <f>SUMIFS(E5:E12, C5:C12, E14, D5:D12, F14)</f>
        <v>78</v>
      </c>
      <c r="H14" s="12" t="s">
        <v>46</v>
      </c>
    </row>
    <row r="15" spans="2:10" ht="23.25" x14ac:dyDescent="0.35">
      <c r="B15" s="13" t="s">
        <v>7</v>
      </c>
      <c r="C15" s="14"/>
      <c r="D15" s="14"/>
      <c r="E15" s="14"/>
      <c r="F15" s="14"/>
      <c r="G15" s="14">
        <f>COUNTIFS(D5:D12, F13, C5:C12, E13)</f>
        <v>2</v>
      </c>
      <c r="H15" s="15" t="s">
        <v>43</v>
      </c>
    </row>
    <row r="16" spans="2:10" ht="23.25" x14ac:dyDescent="0.35">
      <c r="B16" s="10" t="s">
        <v>3</v>
      </c>
      <c r="C16" s="11"/>
      <c r="D16" s="11"/>
      <c r="E16" s="11"/>
      <c r="F16" s="11"/>
      <c r="G16" s="11">
        <f>VLOOKUP(D6, D3:E12, 2, FALSE)</f>
        <v>55</v>
      </c>
      <c r="H16" s="12" t="s">
        <v>44</v>
      </c>
    </row>
    <row r="17" spans="2:8" ht="23.25" x14ac:dyDescent="0.35">
      <c r="B17" s="16" t="s">
        <v>4</v>
      </c>
      <c r="C17" s="14"/>
      <c r="D17" s="14" t="s">
        <v>13</v>
      </c>
      <c r="E17" s="14" t="s">
        <v>62</v>
      </c>
      <c r="F17" s="14" t="s">
        <v>33</v>
      </c>
      <c r="G17" s="14">
        <f>_xlfn.XLOOKUP(F17, C5:C12, E5:E12, "NOT FOUND")</f>
        <v>45</v>
      </c>
      <c r="H17" s="15" t="s">
        <v>48</v>
      </c>
    </row>
    <row r="18" spans="2:8" ht="23.25" x14ac:dyDescent="0.35">
      <c r="B18" s="16" t="s">
        <v>5</v>
      </c>
      <c r="C18" s="24" t="s">
        <v>49</v>
      </c>
      <c r="D18" s="24" t="s">
        <v>12</v>
      </c>
      <c r="E18" s="24" t="s">
        <v>13</v>
      </c>
      <c r="F18" s="24" t="s">
        <v>50</v>
      </c>
      <c r="G18" s="14">
        <f>INDEX(D19:F29,MATCH(E17,C19:C29,0),MATCH(D17,D18:F18,0))</f>
        <v>6</v>
      </c>
      <c r="H18" s="15" t="s">
        <v>63</v>
      </c>
    </row>
    <row r="19" spans="2:8" ht="23.25" x14ac:dyDescent="0.35">
      <c r="B19" s="16"/>
      <c r="C19" s="25" t="s">
        <v>51</v>
      </c>
      <c r="D19" s="25">
        <v>27</v>
      </c>
      <c r="E19" s="25">
        <v>4</v>
      </c>
      <c r="F19" s="25">
        <v>1.42</v>
      </c>
      <c r="G19" s="14"/>
      <c r="H19" s="15"/>
    </row>
    <row r="20" spans="2:8" ht="23.25" x14ac:dyDescent="0.35">
      <c r="B20" s="16"/>
      <c r="C20" s="25" t="s">
        <v>52</v>
      </c>
      <c r="D20" s="25">
        <v>88</v>
      </c>
      <c r="E20" s="25">
        <v>14</v>
      </c>
      <c r="F20" s="25">
        <v>4.5599999999999996</v>
      </c>
      <c r="G20" s="14"/>
      <c r="H20" s="15"/>
    </row>
    <row r="21" spans="2:8" ht="23.25" x14ac:dyDescent="0.35">
      <c r="B21" s="16"/>
      <c r="C21" s="25" t="s">
        <v>53</v>
      </c>
      <c r="D21" s="25">
        <v>44</v>
      </c>
      <c r="E21" s="25">
        <v>6</v>
      </c>
      <c r="F21" s="25">
        <v>1.99</v>
      </c>
      <c r="G21" s="14"/>
      <c r="H21" s="15"/>
    </row>
    <row r="22" spans="2:8" ht="23.25" x14ac:dyDescent="0.35">
      <c r="B22" s="16"/>
      <c r="C22" s="25" t="s">
        <v>54</v>
      </c>
      <c r="D22" s="25">
        <v>19</v>
      </c>
      <c r="E22" s="25">
        <v>3</v>
      </c>
      <c r="F22" s="25">
        <v>0.85</v>
      </c>
      <c r="G22" s="14"/>
      <c r="H22" s="15"/>
    </row>
    <row r="23" spans="2:8" ht="23.25" x14ac:dyDescent="0.35">
      <c r="B23" s="16"/>
      <c r="C23" s="25" t="s">
        <v>55</v>
      </c>
      <c r="D23" s="25">
        <v>84</v>
      </c>
      <c r="E23" s="25">
        <v>10</v>
      </c>
      <c r="F23" s="25">
        <v>3.42</v>
      </c>
      <c r="G23" s="14"/>
      <c r="H23" s="15"/>
    </row>
    <row r="24" spans="2:8" ht="23.25" x14ac:dyDescent="0.35">
      <c r="B24" s="16"/>
      <c r="C24" s="25" t="s">
        <v>56</v>
      </c>
      <c r="D24" s="25">
        <v>11</v>
      </c>
      <c r="E24" s="25">
        <v>1</v>
      </c>
      <c r="F24" s="25">
        <v>0.43</v>
      </c>
      <c r="G24" s="14"/>
      <c r="H24" s="15"/>
    </row>
    <row r="25" spans="2:8" ht="23.25" x14ac:dyDescent="0.35">
      <c r="B25" s="16"/>
      <c r="C25" s="25" t="s">
        <v>57</v>
      </c>
      <c r="D25" s="25">
        <v>15</v>
      </c>
      <c r="E25" s="25">
        <v>1</v>
      </c>
      <c r="F25" s="25">
        <v>0.43</v>
      </c>
      <c r="G25" s="14"/>
      <c r="H25" s="15"/>
    </row>
    <row r="26" spans="2:8" ht="23.25" x14ac:dyDescent="0.35">
      <c r="B26" s="16"/>
      <c r="C26" s="25" t="s">
        <v>58</v>
      </c>
      <c r="D26" s="25">
        <v>30</v>
      </c>
      <c r="E26" s="25">
        <v>2</v>
      </c>
      <c r="F26" s="25">
        <v>0.71</v>
      </c>
      <c r="G26" s="14"/>
      <c r="H26" s="15"/>
    </row>
    <row r="27" spans="2:8" ht="23.25" x14ac:dyDescent="0.35">
      <c r="B27" s="16"/>
      <c r="C27" s="25" t="s">
        <v>59</v>
      </c>
      <c r="D27" s="25">
        <v>74</v>
      </c>
      <c r="E27" s="25">
        <v>5</v>
      </c>
      <c r="F27" s="25">
        <v>1.71</v>
      </c>
      <c r="G27" s="14"/>
      <c r="H27" s="15"/>
    </row>
    <row r="28" spans="2:8" ht="23.25" x14ac:dyDescent="0.35">
      <c r="B28" s="16"/>
      <c r="C28" s="25" t="s">
        <v>60</v>
      </c>
      <c r="D28" s="25">
        <v>71</v>
      </c>
      <c r="E28" s="25">
        <v>5</v>
      </c>
      <c r="F28" s="25">
        <v>1.57</v>
      </c>
      <c r="G28" s="14"/>
      <c r="H28" s="15"/>
    </row>
    <row r="29" spans="2:8" ht="23.25" x14ac:dyDescent="0.35">
      <c r="B29" s="16"/>
      <c r="C29" s="25" t="s">
        <v>61</v>
      </c>
      <c r="D29" s="25">
        <v>40</v>
      </c>
      <c r="E29" s="25">
        <v>2</v>
      </c>
      <c r="F29" s="25">
        <v>0.71</v>
      </c>
      <c r="G29" s="14"/>
      <c r="H29" s="15"/>
    </row>
    <row r="30" spans="2:8" ht="23.25" x14ac:dyDescent="0.35">
      <c r="B30" s="10" t="s">
        <v>6</v>
      </c>
      <c r="C30" s="11"/>
      <c r="D30" s="11" t="s">
        <v>40</v>
      </c>
      <c r="E30" s="11"/>
      <c r="F30" s="11"/>
      <c r="G30" s="11" t="b">
        <f>IF(Sheet1!$D30="MERCEDES", TRUE, FALSE)</f>
        <v>0</v>
      </c>
      <c r="H30" s="12" t="s">
        <v>45</v>
      </c>
    </row>
    <row r="31" spans="2:8" ht="23.25" x14ac:dyDescent="0.35">
      <c r="B31" s="10" t="s">
        <v>8</v>
      </c>
      <c r="C31" s="14"/>
      <c r="D31" s="14"/>
      <c r="E31" s="14" t="s">
        <v>66</v>
      </c>
      <c r="F31" s="14" t="s">
        <v>67</v>
      </c>
      <c r="G31" s="14" t="str">
        <f>SUBSTITUTE(E31, "LEWIS", F31)</f>
        <v>GEORGE IS DRIVER</v>
      </c>
      <c r="H31" s="15" t="s">
        <v>69</v>
      </c>
    </row>
    <row r="32" spans="2:8" ht="23.25" x14ac:dyDescent="0.35">
      <c r="B32" s="10" t="s">
        <v>15</v>
      </c>
      <c r="C32" s="11"/>
      <c r="D32" s="11"/>
      <c r="E32" s="11"/>
      <c r="F32" s="11" t="s">
        <v>64</v>
      </c>
      <c r="G32" s="11" t="str">
        <f>TRIM(F32)</f>
        <v>Singapore Grand Prix</v>
      </c>
      <c r="H32" s="12" t="s">
        <v>65</v>
      </c>
    </row>
    <row r="33" spans="2:8" ht="23.25" x14ac:dyDescent="0.35">
      <c r="B33" s="10" t="s">
        <v>9</v>
      </c>
      <c r="C33" s="14"/>
      <c r="D33" s="14"/>
      <c r="E33" s="14"/>
      <c r="F33" s="14">
        <v>230</v>
      </c>
      <c r="G33" s="14" t="str" cm="1">
        <f t="array" ref="G33">_xlfn.IFS(F33&gt;=85, "A", F33&gt;=75, "B", F33&gt;=60, "C", TRUE, "D")</f>
        <v>A</v>
      </c>
      <c r="H33" s="15" t="s">
        <v>70</v>
      </c>
    </row>
    <row r="34" spans="2:8" ht="23.25" x14ac:dyDescent="0.35">
      <c r="B34" s="10" t="s">
        <v>11</v>
      </c>
      <c r="C34" s="11">
        <v>56</v>
      </c>
      <c r="D34" s="11">
        <v>44</v>
      </c>
      <c r="E34" s="11">
        <v>89</v>
      </c>
      <c r="F34" s="11">
        <v>125</v>
      </c>
      <c r="G34" s="11">
        <f>AVERAGE(Sheet1!$C34:$F34)</f>
        <v>78.5</v>
      </c>
      <c r="H34" s="12" t="s">
        <v>71</v>
      </c>
    </row>
    <row r="35" spans="2:8" ht="23.25" x14ac:dyDescent="0.35">
      <c r="B35" s="10" t="s">
        <v>14</v>
      </c>
      <c r="C35" s="14"/>
      <c r="D35" s="14">
        <v>56</v>
      </c>
      <c r="E35" s="14"/>
      <c r="F35" s="14">
        <v>435</v>
      </c>
      <c r="G35" s="14">
        <f>ROUND(F35, -1)</f>
        <v>440</v>
      </c>
      <c r="H35" s="15" t="s">
        <v>72</v>
      </c>
    </row>
    <row r="36" spans="2:8" ht="23.25" x14ac:dyDescent="0.35">
      <c r="B36" s="10" t="s">
        <v>16</v>
      </c>
      <c r="C36" s="11" t="s">
        <v>76</v>
      </c>
      <c r="D36" s="11"/>
      <c r="E36" s="11"/>
      <c r="F36" s="11"/>
      <c r="G36" s="11" t="str">
        <f>LEFT(Sheet1!$C36, 4)</f>
        <v>CHAR</v>
      </c>
      <c r="H36" s="12" t="s">
        <v>73</v>
      </c>
    </row>
    <row r="37" spans="2:8" ht="23.25" x14ac:dyDescent="0.35">
      <c r="B37" s="13" t="s">
        <v>17</v>
      </c>
      <c r="C37" s="14" t="s">
        <v>76</v>
      </c>
      <c r="D37" s="14"/>
      <c r="E37" s="14"/>
      <c r="F37" s="14"/>
      <c r="G37" s="14" t="str">
        <f>MID(Sheet1!$C37, 2, 3)</f>
        <v>HAR</v>
      </c>
      <c r="H37" s="15" t="s">
        <v>74</v>
      </c>
    </row>
    <row r="38" spans="2:8" ht="23.25" x14ac:dyDescent="0.35">
      <c r="B38" s="10" t="s">
        <v>18</v>
      </c>
      <c r="C38" s="11" t="s">
        <v>76</v>
      </c>
      <c r="D38" s="11"/>
      <c r="E38" s="11"/>
      <c r="F38" s="11"/>
      <c r="G38" s="11" t="str">
        <f>RIGHT(Sheet1!$C38, 6)</f>
        <v>ECLERC</v>
      </c>
      <c r="H38" s="12" t="s">
        <v>75</v>
      </c>
    </row>
    <row r="39" spans="2:8" ht="23.25" x14ac:dyDescent="0.35">
      <c r="B39" s="10" t="s">
        <v>20</v>
      </c>
      <c r="C39" s="14"/>
      <c r="D39" s="14"/>
      <c r="E39" s="17"/>
      <c r="F39" s="18">
        <v>46362</v>
      </c>
      <c r="G39" s="18">
        <f>EOMONTH(F39, -2)</f>
        <v>46326</v>
      </c>
      <c r="H39" s="15" t="s">
        <v>68</v>
      </c>
    </row>
    <row r="40" spans="2:8" ht="23.25" x14ac:dyDescent="0.35">
      <c r="B40" s="10" t="s">
        <v>19</v>
      </c>
      <c r="C40" s="11" t="s">
        <v>77</v>
      </c>
      <c r="D40" s="11" t="s">
        <v>78</v>
      </c>
      <c r="E40" s="11" t="s">
        <v>79</v>
      </c>
      <c r="F40" s="11"/>
      <c r="G40" s="19">
        <f>WORKDAY(C41, D41, E41:E42 )</f>
        <v>46331</v>
      </c>
      <c r="H40" s="12" t="s">
        <v>80</v>
      </c>
    </row>
    <row r="41" spans="2:8" ht="23.25" x14ac:dyDescent="0.35">
      <c r="B41" s="10"/>
      <c r="C41" s="19">
        <v>46303</v>
      </c>
      <c r="D41" s="11">
        <v>20</v>
      </c>
      <c r="E41" s="19">
        <v>46251</v>
      </c>
      <c r="F41" s="11"/>
      <c r="G41" s="19"/>
      <c r="H41" s="12"/>
    </row>
    <row r="42" spans="2:8" ht="23.25" x14ac:dyDescent="0.35">
      <c r="B42" s="10"/>
      <c r="C42" s="14"/>
      <c r="D42" s="14"/>
      <c r="E42" s="18">
        <v>46381</v>
      </c>
      <c r="F42" s="14"/>
      <c r="G42" s="14"/>
      <c r="H42" s="15"/>
    </row>
    <row r="43" spans="2:8" ht="23.25" x14ac:dyDescent="0.35">
      <c r="B43" s="20" t="s">
        <v>21</v>
      </c>
      <c r="C43" s="21"/>
      <c r="D43" s="21"/>
      <c r="E43" s="22"/>
      <c r="F43" s="21"/>
      <c r="G43" s="21">
        <f>NETWORKDAYS(C41, G40, E41)</f>
        <v>21</v>
      </c>
      <c r="H43" s="23" t="s">
        <v>82</v>
      </c>
    </row>
  </sheetData>
  <mergeCells count="2">
    <mergeCell ref="B1:H1"/>
    <mergeCell ref="B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2026-10-06T22:33:32Z</dcterms:created>
  <dcterms:modified xsi:type="dcterms:W3CDTF">2026-10-14T14:41:54Z</dcterms:modified>
</cp:coreProperties>
</file>